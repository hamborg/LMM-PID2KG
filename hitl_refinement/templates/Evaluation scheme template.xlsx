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lham_dtu_dk/Documents/2 Projekter/PID - LLM/CODE/hitl_refinement/templates/"/>
    </mc:Choice>
  </mc:AlternateContent>
  <xr:revisionPtr revIDLastSave="38" documentId="8_{C18DEFA3-7952-4AC5-A64F-C8185DF31731}" xr6:coauthVersionLast="47" xr6:coauthVersionMax="47" xr10:uidLastSave="{8F33FEFB-1E1C-4139-9816-43ECB5AED2CF}"/>
  <bookViews>
    <workbookView xWindow="1005" yWindow="3495" windowWidth="18405" windowHeight="15345" xr2:uid="{16987991-740A-4829-AB2B-54E6CDED3F63}"/>
  </bookViews>
  <sheets>
    <sheet name="E4 HI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L2" i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</calcChain>
</file>

<file path=xl/sharedStrings.xml><?xml version="1.0" encoding="utf-8"?>
<sst xmlns="http://schemas.openxmlformats.org/spreadsheetml/2006/main" count="41" uniqueCount="38">
  <si>
    <t>All</t>
  </si>
  <si>
    <t>Vent</t>
  </si>
  <si>
    <t>6: Design properties</t>
  </si>
  <si>
    <t>Air terminals have a design airflow</t>
  </si>
  <si>
    <t>V12</t>
  </si>
  <si>
    <t>4: Global flow</t>
  </si>
  <si>
    <t>ATs are placed in a room</t>
  </si>
  <si>
    <t>V01</t>
  </si>
  <si>
    <t>1: Location</t>
  </si>
  <si>
    <t>MANI: 1 Rum fjernet: Omklædning</t>
  </si>
  <si>
    <t>Rooms are part of the building</t>
  </si>
  <si>
    <t>Special</t>
  </si>
  <si>
    <t>Z01</t>
  </si>
  <si>
    <t>A00</t>
  </si>
  <si>
    <t>0: Components</t>
  </si>
  <si>
    <t>How many componets (incl. AHU) have a classification</t>
  </si>
  <si>
    <t>Notes</t>
  </si>
  <si>
    <t>Recall</t>
  </si>
  <si>
    <t>Precision</t>
  </si>
  <si>
    <t>Coverage</t>
  </si>
  <si>
    <t>FN</t>
  </si>
  <si>
    <t>FP</t>
  </si>
  <si>
    <t>TP</t>
  </si>
  <si>
    <t>SPARQL_Result</t>
  </si>
  <si>
    <t>GT_Count</t>
  </si>
  <si>
    <t>CQ</t>
  </si>
  <si>
    <t>Syst</t>
  </si>
  <si>
    <t>ID</t>
  </si>
  <si>
    <t>PCLA</t>
  </si>
  <si>
    <t>FOCUS</t>
  </si>
  <si>
    <t>Instructions</t>
  </si>
  <si>
    <t>Turn 0</t>
  </si>
  <si>
    <t>MANI: Multirum at til/fra sil; (følgefejl på manglende Ats.)</t>
  </si>
  <si>
    <t>Room flow not distributed; (følgefejl)</t>
  </si>
  <si>
    <t>MANI: Omklædning mangler (loc); (følgefejl: AT mangler helt I ankomst og Toi.)</t>
  </si>
  <si>
    <t>ATs are connected to the AHU</t>
  </si>
  <si>
    <t>Byttet om på 2 damper og 4 vav; 2 AT mangler (ankomst, toi)</t>
  </si>
  <si>
    <t>Z02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</si>
</sst>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2"/>
    <xf numFmtId="0" fontId="2" fillId="0" borderId="1" xfId="2" applyAlignment="1">
      <alignment horizontal="center"/>
    </xf>
    <xf numFmtId="0" fontId="2" fillId="2" borderId="1" xfId="2" applyFill="1" applyAlignment="1">
      <alignment horizontal="center"/>
    </xf>
    <xf numFmtId="0" fontId="2" fillId="3" borderId="1" xfId="2" applyFill="1" applyAlignment="1">
      <alignment horizontal="center"/>
    </xf>
    <xf numFmtId="0" fontId="2" fillId="4" borderId="1" xfId="2" applyFill="1" applyAlignment="1">
      <alignment horizontal="center"/>
    </xf>
    <xf numFmtId="9" fontId="1" fillId="0" borderId="0" xfId="1" applyFont="1" applyAlignment="1">
      <alignment horizontal="center"/>
    </xf>
    <xf numFmtId="9" fontId="1" fillId="0" borderId="0" xfId="1" applyFont="1" applyBorder="1" applyAlignment="1">
      <alignment horizontal="center"/>
    </xf>
    <xf numFmtId="0" fontId="3" fillId="0" borderId="0" xfId="0" applyFont="1"/>
  </cellXfs>
  <cellStyles count="3">
    <cellStyle name="Heading 3" xfId="2" builtinId="1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79BC-8EB9-4880-9691-A021F116E317}">
  <dimension ref="A1:R6"/>
  <sheetViews>
    <sheetView tabSelected="1" zoomScaleNormal="100" workbookViewId="0">
      <selection activeCell="F15" sqref="F15"/>
    </sheetView>
  </sheetViews>
  <sheetFormatPr defaultRowHeight="15" x14ac:dyDescent="0.25"/>
  <cols>
    <col min="1" max="1" width="6.7109375" style="12" customWidth="1"/>
    <col min="2" max="2" width="22.42578125" bestFit="1" customWidth="1"/>
    <col min="3" max="3" width="4.7109375" bestFit="1" customWidth="1"/>
    <col min="4" max="4" width="7.28515625" bestFit="1" customWidth="1"/>
    <col min="5" max="5" width="49.7109375" bestFit="1" customWidth="1"/>
    <col min="6" max="6" width="14.5703125" style="1" customWidth="1"/>
    <col min="7" max="7" width="14.5703125" style="1" bestFit="1" customWidth="1"/>
    <col min="8" max="8" width="3.140625" style="4" bestFit="1" customWidth="1"/>
    <col min="9" max="9" width="3.140625" style="3" bestFit="1" customWidth="1"/>
    <col min="10" max="10" width="3.42578125" style="2" bestFit="1" customWidth="1"/>
    <col min="11" max="11" width="2.85546875" style="1" customWidth="1"/>
    <col min="12" max="12" width="9.28515625" style="1" bestFit="1" customWidth="1"/>
    <col min="13" max="13" width="9.140625" style="1" bestFit="1" customWidth="1"/>
    <col min="14" max="14" width="7.7109375" style="1" bestFit="1" customWidth="1"/>
    <col min="15" max="15" width="3.5703125" customWidth="1"/>
    <col min="16" max="16" width="7" style="1" bestFit="1" customWidth="1"/>
    <col min="17" max="17" width="33.7109375" customWidth="1"/>
    <col min="18" max="18" width="12.7109375" customWidth="1"/>
  </cols>
  <sheetData>
    <row r="1" spans="1:18" s="5" customFormat="1" ht="15.75" thickBot="1" x14ac:dyDescent="0.3">
      <c r="B1" s="5" t="s">
        <v>28</v>
      </c>
      <c r="C1" s="5" t="s">
        <v>27</v>
      </c>
      <c r="D1" s="5" t="s">
        <v>26</v>
      </c>
      <c r="E1" s="5" t="s">
        <v>25</v>
      </c>
      <c r="F1" s="6" t="s">
        <v>24</v>
      </c>
      <c r="G1" s="6" t="s">
        <v>23</v>
      </c>
      <c r="H1" s="9" t="s">
        <v>22</v>
      </c>
      <c r="I1" s="8" t="s">
        <v>21</v>
      </c>
      <c r="J1" s="7" t="s">
        <v>20</v>
      </c>
      <c r="K1" s="6"/>
      <c r="L1" s="6" t="s">
        <v>19</v>
      </c>
      <c r="M1" s="6" t="s">
        <v>18</v>
      </c>
      <c r="N1" s="6" t="s">
        <v>17</v>
      </c>
      <c r="P1" s="6" t="s">
        <v>29</v>
      </c>
      <c r="Q1" s="5" t="s">
        <v>16</v>
      </c>
      <c r="R1" s="5" t="s">
        <v>30</v>
      </c>
    </row>
    <row r="2" spans="1:18" x14ac:dyDescent="0.25">
      <c r="A2" s="12" t="s">
        <v>31</v>
      </c>
      <c r="B2" t="s">
        <v>14</v>
      </c>
      <c r="C2" t="s">
        <v>13</v>
      </c>
      <c r="D2" t="s">
        <v>0</v>
      </c>
      <c r="E2" t="s">
        <v>15</v>
      </c>
      <c r="F2" s="1">
        <f>39+1+10</f>
        <v>50</v>
      </c>
      <c r="G2" s="1">
        <v>51</v>
      </c>
      <c r="H2" s="4">
        <v>42</v>
      </c>
      <c r="I2" s="3">
        <v>6</v>
      </c>
      <c r="J2" s="2">
        <v>2</v>
      </c>
      <c r="L2" s="10">
        <f>H2/F2</f>
        <v>0.84</v>
      </c>
      <c r="M2" s="10">
        <f>H2/(H2+I2)</f>
        <v>0.875</v>
      </c>
      <c r="N2" s="10">
        <f>H2/(H2+J2)</f>
        <v>0.95454545454545459</v>
      </c>
      <c r="Q2" t="s">
        <v>36</v>
      </c>
    </row>
    <row r="3" spans="1:18" x14ac:dyDescent="0.25">
      <c r="B3" t="s">
        <v>8</v>
      </c>
      <c r="C3" t="s">
        <v>12</v>
      </c>
      <c r="D3" t="s">
        <v>11</v>
      </c>
      <c r="E3" t="s">
        <v>10</v>
      </c>
      <c r="F3" s="1">
        <v>6</v>
      </c>
      <c r="G3" s="1">
        <v>5</v>
      </c>
      <c r="H3" s="4">
        <v>5</v>
      </c>
      <c r="I3" s="3">
        <v>0</v>
      </c>
      <c r="J3" s="2">
        <v>1</v>
      </c>
      <c r="L3" s="11">
        <f>H3/F3</f>
        <v>0.83333333333333337</v>
      </c>
      <c r="M3" s="11">
        <f>H3/(H3+I3)</f>
        <v>1</v>
      </c>
      <c r="N3" s="11">
        <f>H3/(H3+J3)</f>
        <v>0.83333333333333337</v>
      </c>
      <c r="Q3" t="s">
        <v>9</v>
      </c>
    </row>
    <row r="4" spans="1:18" x14ac:dyDescent="0.25">
      <c r="B4" t="s">
        <v>8</v>
      </c>
      <c r="C4" t="s">
        <v>7</v>
      </c>
      <c r="D4" t="s">
        <v>1</v>
      </c>
      <c r="E4" t="s">
        <v>6</v>
      </c>
      <c r="F4" s="1">
        <v>10</v>
      </c>
      <c r="G4" s="1">
        <v>6</v>
      </c>
      <c r="H4" s="4">
        <v>6</v>
      </c>
      <c r="I4" s="3">
        <v>0</v>
      </c>
      <c r="J4" s="2">
        <v>4</v>
      </c>
      <c r="L4" s="11">
        <f>H4/F4</f>
        <v>0.6</v>
      </c>
      <c r="M4" s="11">
        <f>H4/(H4+I4)</f>
        <v>1</v>
      </c>
      <c r="N4" s="11">
        <f>H4/(H4+J4)</f>
        <v>0.6</v>
      </c>
      <c r="Q4" t="s">
        <v>34</v>
      </c>
    </row>
    <row r="5" spans="1:18" x14ac:dyDescent="0.25">
      <c r="B5" t="s">
        <v>5</v>
      </c>
      <c r="C5" t="s">
        <v>37</v>
      </c>
      <c r="D5" t="s">
        <v>0</v>
      </c>
      <c r="E5" t="s">
        <v>35</v>
      </c>
      <c r="F5" s="1">
        <v>10</v>
      </c>
      <c r="G5" s="1">
        <v>6</v>
      </c>
      <c r="H5" s="4">
        <v>6</v>
      </c>
      <c r="I5" s="3">
        <v>0</v>
      </c>
      <c r="J5" s="2">
        <v>4</v>
      </c>
      <c r="L5" s="11">
        <f>H5/F5</f>
        <v>0.6</v>
      </c>
      <c r="M5" s="11">
        <f>H5/(H5+I5)</f>
        <v>1</v>
      </c>
      <c r="N5" s="11">
        <f>H5/(H5+J5)</f>
        <v>0.6</v>
      </c>
      <c r="Q5" t="s">
        <v>32</v>
      </c>
    </row>
    <row r="6" spans="1:18" x14ac:dyDescent="0.25">
      <c r="B6" t="s">
        <v>2</v>
      </c>
      <c r="C6" t="s">
        <v>4</v>
      </c>
      <c r="D6" t="s">
        <v>1</v>
      </c>
      <c r="E6" t="s">
        <v>3</v>
      </c>
      <c r="F6" s="1">
        <v>12</v>
      </c>
      <c r="G6" s="1">
        <v>6</v>
      </c>
      <c r="H6" s="4">
        <v>5</v>
      </c>
      <c r="I6" s="3">
        <v>1</v>
      </c>
      <c r="J6" s="2">
        <v>6</v>
      </c>
      <c r="L6" s="11">
        <f>H6/F6</f>
        <v>0.41666666666666669</v>
      </c>
      <c r="M6" s="11">
        <f>H6/(H6+I6)</f>
        <v>0.83333333333333337</v>
      </c>
      <c r="N6" s="11">
        <f>H6/(H6+J6)</f>
        <v>0.45454545454545453</v>
      </c>
      <c r="Q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E4 HITL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Hamborg</dc:creator>
  <cp:lastModifiedBy>Lasse Hamborg</cp:lastModifiedBy>
  <dcterms:created xsi:type="dcterms:W3CDTF">2026-04-11T14:32:41Z</dcterms:created>
  <dcterms:modified xsi:type="dcterms:W3CDTF">2026-04-14T13:45:08Z</dcterms:modified>
</cp:coreProperties>
</file>